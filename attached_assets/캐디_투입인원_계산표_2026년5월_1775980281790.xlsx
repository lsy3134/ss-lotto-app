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82105\OneDrive\바탕 화면\"/>
    </mc:Choice>
  </mc:AlternateContent>
  <xr:revisionPtr revIDLastSave="0" documentId="13_ncr:1_{051D62AB-AD7F-4DED-8642-4829555EC35E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설정" sheetId="1" r:id="rId1"/>
    <sheet name="2026년 4월 투입계산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" i="2" l="1"/>
  <c r="M32" i="2"/>
  <c r="L32" i="2"/>
  <c r="I32" i="2"/>
  <c r="D32" i="2"/>
  <c r="C32" i="2"/>
  <c r="M31" i="2"/>
  <c r="L31" i="2"/>
  <c r="I31" i="2"/>
  <c r="D31" i="2"/>
  <c r="C31" i="2"/>
  <c r="M30" i="2"/>
  <c r="L30" i="2"/>
  <c r="I30" i="2"/>
  <c r="D30" i="2"/>
  <c r="C30" i="2"/>
  <c r="M29" i="2"/>
  <c r="L29" i="2"/>
  <c r="I29" i="2"/>
  <c r="D29" i="2"/>
  <c r="C29" i="2"/>
  <c r="M28" i="2"/>
  <c r="L28" i="2"/>
  <c r="I28" i="2"/>
  <c r="E28" i="2"/>
  <c r="C28" i="2"/>
  <c r="J28" i="2" s="1"/>
  <c r="M27" i="2"/>
  <c r="L27" i="2"/>
  <c r="I27" i="2"/>
  <c r="E27" i="2"/>
  <c r="C27" i="2"/>
  <c r="M26" i="2"/>
  <c r="L26" i="2"/>
  <c r="I26" i="2"/>
  <c r="E26" i="2"/>
  <c r="D26" i="2"/>
  <c r="C26" i="2"/>
  <c r="M25" i="2"/>
  <c r="L25" i="2"/>
  <c r="I25" i="2"/>
  <c r="D25" i="2"/>
  <c r="C25" i="2"/>
  <c r="M24" i="2"/>
  <c r="L24" i="2"/>
  <c r="I24" i="2"/>
  <c r="D24" i="2"/>
  <c r="C24" i="2"/>
  <c r="M23" i="2"/>
  <c r="L23" i="2"/>
  <c r="I23" i="2"/>
  <c r="D23" i="2"/>
  <c r="C23" i="2"/>
  <c r="M22" i="2"/>
  <c r="L22" i="2"/>
  <c r="I22" i="2"/>
  <c r="D22" i="2"/>
  <c r="C22" i="2"/>
  <c r="M21" i="2"/>
  <c r="L21" i="2"/>
  <c r="I21" i="2"/>
  <c r="E21" i="2"/>
  <c r="C21" i="2"/>
  <c r="M20" i="2"/>
  <c r="L20" i="2"/>
  <c r="I20" i="2"/>
  <c r="E20" i="2"/>
  <c r="C20" i="2"/>
  <c r="M19" i="2"/>
  <c r="L19" i="2"/>
  <c r="I19" i="2"/>
  <c r="E19" i="2"/>
  <c r="D19" i="2"/>
  <c r="C19" i="2"/>
  <c r="M18" i="2"/>
  <c r="L18" i="2"/>
  <c r="I18" i="2"/>
  <c r="D18" i="2"/>
  <c r="C18" i="2"/>
  <c r="M17" i="2"/>
  <c r="L17" i="2"/>
  <c r="I17" i="2"/>
  <c r="D17" i="2"/>
  <c r="C17" i="2"/>
  <c r="M16" i="2"/>
  <c r="L16" i="2"/>
  <c r="I16" i="2"/>
  <c r="D16" i="2"/>
  <c r="C16" i="2"/>
  <c r="M15" i="2"/>
  <c r="L15" i="2"/>
  <c r="I15" i="2"/>
  <c r="D15" i="2"/>
  <c r="C15" i="2"/>
  <c r="M14" i="2"/>
  <c r="L14" i="2"/>
  <c r="I14" i="2"/>
  <c r="E14" i="2"/>
  <c r="C14" i="2"/>
  <c r="M13" i="2"/>
  <c r="L13" i="2"/>
  <c r="I13" i="2"/>
  <c r="E13" i="2"/>
  <c r="C13" i="2"/>
  <c r="M12" i="2"/>
  <c r="L12" i="2"/>
  <c r="I12" i="2"/>
  <c r="E12" i="2"/>
  <c r="D12" i="2"/>
  <c r="C12" i="2"/>
  <c r="M11" i="2"/>
  <c r="L11" i="2"/>
  <c r="I11" i="2"/>
  <c r="D11" i="2"/>
  <c r="C11" i="2"/>
  <c r="M10" i="2"/>
  <c r="L10" i="2"/>
  <c r="I10" i="2"/>
  <c r="D10" i="2"/>
  <c r="C10" i="2"/>
  <c r="M9" i="2"/>
  <c r="L9" i="2"/>
  <c r="I9" i="2"/>
  <c r="D9" i="2"/>
  <c r="C9" i="2"/>
  <c r="M8" i="2"/>
  <c r="L8" i="2"/>
  <c r="I8" i="2"/>
  <c r="D8" i="2"/>
  <c r="C8" i="2"/>
  <c r="M7" i="2"/>
  <c r="L7" i="2"/>
  <c r="I7" i="2"/>
  <c r="E7" i="2"/>
  <c r="C7" i="2"/>
  <c r="M6" i="2"/>
  <c r="L6" i="2"/>
  <c r="I6" i="2"/>
  <c r="E6" i="2"/>
  <c r="C6" i="2"/>
  <c r="M5" i="2"/>
  <c r="L5" i="2"/>
  <c r="I5" i="2"/>
  <c r="E5" i="2"/>
  <c r="D5" i="2"/>
  <c r="C5" i="2"/>
  <c r="M4" i="2"/>
  <c r="L4" i="2"/>
  <c r="I4" i="2"/>
  <c r="D4" i="2"/>
  <c r="C4" i="2"/>
  <c r="L3" i="2"/>
  <c r="I3" i="2"/>
  <c r="D3" i="2"/>
  <c r="C3" i="2"/>
  <c r="J16" i="2" l="1"/>
  <c r="J19" i="2"/>
  <c r="J10" i="2"/>
  <c r="J15" i="2"/>
  <c r="J13" i="2"/>
  <c r="J22" i="2"/>
  <c r="J7" i="2"/>
  <c r="J32" i="2"/>
  <c r="J30" i="2"/>
  <c r="J9" i="2"/>
  <c r="J29" i="2"/>
  <c r="J11" i="2"/>
  <c r="J14" i="2"/>
  <c r="J20" i="2"/>
  <c r="J23" i="2"/>
  <c r="J8" i="2"/>
  <c r="J21" i="2"/>
  <c r="J24" i="2"/>
  <c r="J27" i="2"/>
  <c r="J6" i="2"/>
  <c r="J3" i="2"/>
  <c r="J17" i="2"/>
  <c r="J26" i="2"/>
  <c r="J5" i="2"/>
  <c r="J4" i="2"/>
  <c r="J12" i="2"/>
  <c r="J25" i="2"/>
  <c r="J18" i="2"/>
  <c r="J31" i="2"/>
</calcChain>
</file>

<file path=xl/sharedStrings.xml><?xml version="1.0" encoding="utf-8"?>
<sst xmlns="http://schemas.openxmlformats.org/spreadsheetml/2006/main" count="99" uniqueCount="74">
  <si>
    <t>캐디 근무 인원 설정</t>
  </si>
  <si>
    <t>항목</t>
  </si>
  <si>
    <t>인원 수</t>
  </si>
  <si>
    <t>설명</t>
  </si>
  <si>
    <t>하우스 기본 인원</t>
  </si>
  <si>
    <t>주중 전용 인원</t>
  </si>
  <si>
    <t>월~금만 출근 (김혜민, 백지은)</t>
  </si>
  <si>
    <t>주말 전용 인원</t>
  </si>
  <si>
    <t>금~일만 출근 (파란글씨 인원)</t>
  </si>
  <si>
    <t>최소 투입 기준</t>
  </si>
  <si>
    <t>이 수 미만이면 빨간 경고 표시</t>
  </si>
  <si>
    <t>▣ 색상 범례 (휴무 달력 → F/G/H열 입력 가이드)</t>
  </si>
  <si>
    <t>파랑(순번당번)</t>
  </si>
  <si>
    <t>→ F열(당번) 에 포함하여 입력</t>
  </si>
  <si>
    <t>초록(벌·복귀당번)</t>
  </si>
  <si>
    <t>보라(특별반 대체)</t>
  </si>
  <si>
    <t>주황(병가·조정휴무)</t>
  </si>
  <si>
    <t>→ H열(병가·조퇴) 에 입력</t>
  </si>
  <si>
    <t>분홍(우선 휴무)</t>
  </si>
  <si>
    <t>→ G열(일반휴무) 에 입력</t>
  </si>
  <si>
    <t>날짜</t>
  </si>
  <si>
    <t>요일</t>
  </si>
  <si>
    <t>하우스
기본</t>
  </si>
  <si>
    <t>주중
추가</t>
  </si>
  <si>
    <t>주말
추가</t>
  </si>
  <si>
    <t>당번
(F)</t>
  </si>
  <si>
    <t>일반
휴무(G)</t>
  </si>
  <si>
    <t>병가
조퇴(H)</t>
  </si>
  <si>
    <t>제외
합계</t>
  </si>
  <si>
    <t>예약
팀수(K)</t>
  </si>
  <si>
    <t>최저
기준</t>
  </si>
  <si>
    <t>비고</t>
  </si>
  <si>
    <t>04.01 (수)</t>
  </si>
  <si>
    <t>수</t>
  </si>
  <si>
    <t>04.02 (목)</t>
  </si>
  <si>
    <t>목</t>
  </si>
  <si>
    <t>04.03 (금)</t>
  </si>
  <si>
    <t>금</t>
  </si>
  <si>
    <t>04.04 (토)</t>
  </si>
  <si>
    <t>토</t>
  </si>
  <si>
    <t>04.05 (일)</t>
  </si>
  <si>
    <t>일</t>
  </si>
  <si>
    <t>04.06 (월)</t>
  </si>
  <si>
    <t>월</t>
  </si>
  <si>
    <t>04.07 (화)</t>
  </si>
  <si>
    <t>화</t>
  </si>
  <si>
    <t>04.08 (수)</t>
  </si>
  <si>
    <t>04.09 (목)</t>
  </si>
  <si>
    <t>04.10 (금)</t>
  </si>
  <si>
    <t>04.11 (토)</t>
  </si>
  <si>
    <t>04.12 (일)</t>
  </si>
  <si>
    <t>04.13 (월)</t>
  </si>
  <si>
    <t>04.14 (화)</t>
  </si>
  <si>
    <t>04.15 (수)</t>
  </si>
  <si>
    <t>04.16 (목)</t>
  </si>
  <si>
    <t>04.17 (금)</t>
  </si>
  <si>
    <t>04.18 (토)</t>
  </si>
  <si>
    <t>04.19 (일)</t>
  </si>
  <si>
    <t>04.20 (월)</t>
  </si>
  <si>
    <t>04.21 (화)</t>
  </si>
  <si>
    <t>04.22 (수)</t>
  </si>
  <si>
    <t>04.23 (목)</t>
  </si>
  <si>
    <t>04.24 (금)</t>
  </si>
  <si>
    <t>04.25 (토)</t>
  </si>
  <si>
    <t>04.26 (일)</t>
  </si>
  <si>
    <t>04.27 (월)</t>
  </si>
  <si>
    <t>04.28 (화)</t>
  </si>
  <si>
    <t>04.29 (수)</t>
  </si>
  <si>
    <t>04.30 (목)</t>
  </si>
  <si>
    <t>📝 입력 방법: 노란 셀에만 숫자 입력 │ F=당번(파랑·초록·보라·분홍 모두 합산) │ G=일반 우선휴무 │ H=병가·조퇴 │ K=당일 예약팀수</t>
  </si>
  <si>
    <r>
      <rPr>
        <sz val="10"/>
        <rFont val="맑은 고딕"/>
        <family val="3"/>
        <charset val="129"/>
      </rPr>
      <t>매일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출근하는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하우스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캐디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수</t>
    </r>
    <phoneticPr fontId="16" type="noConversion"/>
  </si>
  <si>
    <r>
      <t xml:space="preserve">  </t>
    </r>
    <r>
      <rPr>
        <b/>
        <sz val="14"/>
        <color rgb="FFFFFFFF"/>
        <rFont val="맑은 고딕"/>
        <family val="3"/>
        <charset val="129"/>
      </rPr>
      <t>캐디</t>
    </r>
    <r>
      <rPr>
        <b/>
        <sz val="14"/>
        <color rgb="FFFFFFFF"/>
        <rFont val="Arial"/>
        <family val="2"/>
      </rPr>
      <t xml:space="preserve"> </t>
    </r>
    <r>
      <rPr>
        <b/>
        <sz val="14"/>
        <color rgb="FFFFFFFF"/>
        <rFont val="맑은 고딕"/>
        <family val="3"/>
        <charset val="129"/>
      </rPr>
      <t>일일</t>
    </r>
    <r>
      <rPr>
        <b/>
        <sz val="14"/>
        <color rgb="FFFFFFFF"/>
        <rFont val="Arial"/>
        <family val="2"/>
      </rPr>
      <t xml:space="preserve"> </t>
    </r>
    <r>
      <rPr>
        <b/>
        <sz val="14"/>
        <color rgb="FFFFFFFF"/>
        <rFont val="맑은 고딕"/>
        <family val="3"/>
        <charset val="129"/>
      </rPr>
      <t>투입</t>
    </r>
    <r>
      <rPr>
        <b/>
        <sz val="14"/>
        <color rgb="FFFFFFFF"/>
        <rFont val="Arial"/>
        <family val="2"/>
      </rPr>
      <t xml:space="preserve"> </t>
    </r>
    <r>
      <rPr>
        <b/>
        <sz val="14"/>
        <color rgb="FFFFFFFF"/>
        <rFont val="맑은 고딕"/>
        <family val="3"/>
        <charset val="129"/>
      </rPr>
      <t>인원</t>
    </r>
    <r>
      <rPr>
        <b/>
        <sz val="14"/>
        <color rgb="FFFFFFFF"/>
        <rFont val="Arial"/>
        <family val="2"/>
      </rPr>
      <t xml:space="preserve"> </t>
    </r>
    <r>
      <rPr>
        <b/>
        <sz val="14"/>
        <color rgb="FFFFFFFF"/>
        <rFont val="맑은 고딕"/>
        <family val="3"/>
        <charset val="129"/>
      </rPr>
      <t>계산표</t>
    </r>
    <r>
      <rPr>
        <b/>
        <sz val="14"/>
        <color rgb="FFFFFFFF"/>
        <rFont val="Arial"/>
        <family val="2"/>
      </rPr>
      <t xml:space="preserve">  </t>
    </r>
    <r>
      <rPr>
        <b/>
        <sz val="14"/>
        <color rgb="FFFFFFFF"/>
        <rFont val="Microsoft JhengHei"/>
        <family val="2"/>
      </rPr>
      <t>│</t>
    </r>
    <r>
      <rPr>
        <b/>
        <sz val="14"/>
        <color rgb="FFFFFFFF"/>
        <rFont val="Arial"/>
        <family val="2"/>
      </rPr>
      <t xml:space="preserve">  2026</t>
    </r>
    <r>
      <rPr>
        <b/>
        <sz val="14"/>
        <color rgb="FFFFFFFF"/>
        <rFont val="맑은 고딕"/>
        <family val="3"/>
        <charset val="129"/>
      </rPr>
      <t>년</t>
    </r>
    <r>
      <rPr>
        <b/>
        <sz val="14"/>
        <color rgb="FFFFFFFF"/>
        <rFont val="Arial"/>
        <family val="2"/>
      </rPr>
      <t xml:space="preserve"> 5</t>
    </r>
    <r>
      <rPr>
        <b/>
        <sz val="14"/>
        <color rgb="FFFFFFFF"/>
        <rFont val="맑은 고딕"/>
        <family val="3"/>
        <charset val="129"/>
      </rPr>
      <t>월</t>
    </r>
    <phoneticPr fontId="16" type="noConversion"/>
  </si>
  <si>
    <t>가용인원</t>
    <phoneticPr fontId="16" type="noConversion"/>
  </si>
  <si>
    <t>투근무</t>
    <phoneticPr fontId="1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</si>
</sst>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1"/>
      <color theme="1"/>
      <name val="맑은 고딕"/>
      <family val="2"/>
      <scheme val="minor"/>
    </font>
    <font>
      <b/>
      <sz val="14"/>
      <color rgb="FFFFFFFF"/>
      <name val="Arial"/>
    </font>
    <font>
      <b/>
      <sz val="11"/>
      <color rgb="FFFFFFFF"/>
      <name val="Arial"/>
    </font>
    <font>
      <b/>
      <sz val="10"/>
      <name val="Arial"/>
    </font>
    <font>
      <b/>
      <sz val="11"/>
      <color rgb="FF0000FF"/>
      <name val="Arial"/>
    </font>
    <font>
      <sz val="10"/>
      <name val="Arial"/>
    </font>
    <font>
      <b/>
      <sz val="9"/>
      <color rgb="FFFFFFFF"/>
      <name val="Arial"/>
    </font>
    <font>
      <b/>
      <sz val="10"/>
      <color rgb="FF1F3864"/>
      <name val="Arial"/>
    </font>
    <font>
      <sz val="10"/>
      <color rgb="FF0070C0"/>
      <name val="Arial"/>
    </font>
    <font>
      <sz val="10"/>
      <color rgb="FFBBBBBB"/>
      <name val="Arial"/>
    </font>
    <font>
      <sz val="10"/>
      <color rgb="FF0000FF"/>
      <name val="Arial"/>
    </font>
    <font>
      <b/>
      <sz val="11"/>
      <name val="Arial"/>
    </font>
    <font>
      <sz val="10"/>
      <color rgb="FF595959"/>
      <name val="Arial"/>
    </font>
    <font>
      <sz val="9"/>
      <name val="Arial"/>
    </font>
    <font>
      <b/>
      <sz val="10"/>
      <color rgb="FFC00000"/>
      <name val="Arial"/>
    </font>
    <font>
      <i/>
      <sz val="9"/>
      <color rgb="FF595959"/>
      <name val="Arial"/>
    </font>
    <font>
      <sz val="8"/>
      <name val="맑은 고딕"/>
      <family val="3"/>
      <charset val="129"/>
      <scheme val="minor"/>
    </font>
    <font>
      <b/>
      <sz val="14"/>
      <color rgb="FFFFFFFF"/>
      <name val="맑은 고딕"/>
      <family val="3"/>
      <charset val="129"/>
    </font>
    <font>
      <b/>
      <sz val="14"/>
      <color rgb="FFFFFFFF"/>
      <name val="Arial"/>
      <family val="2"/>
    </font>
    <font>
      <b/>
      <sz val="14"/>
      <color rgb="FFFFFFFF"/>
      <name val="Microsoft JhengHei"/>
      <family val="2"/>
    </font>
    <font>
      <sz val="10"/>
      <name val="맑은 고딕"/>
      <family val="3"/>
      <charset val="129"/>
    </font>
    <font>
      <sz val="10"/>
      <name val="Arial"/>
      <family val="2"/>
    </font>
    <font>
      <sz val="10"/>
      <name val="Arial"/>
      <family val="3"/>
      <charset val="129"/>
    </font>
    <font>
      <b/>
      <sz val="9"/>
      <color rgb="FFFFFFFF"/>
      <name val="맑은 고딕"/>
      <family val="3"/>
      <charset val="129"/>
    </font>
  </fonts>
  <fills count="23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EBF3FB"/>
      </patternFill>
    </fill>
    <fill>
      <patternFill patternType="solid">
        <fgColor rgb="FFFFF2CC"/>
      </patternFill>
    </fill>
    <fill>
      <patternFill patternType="solid">
        <fgColor rgb="FFFFFFFF"/>
      </patternFill>
    </fill>
    <fill>
      <patternFill patternType="solid">
        <fgColor rgb="FFDDEEFF"/>
      </patternFill>
    </fill>
    <fill>
      <patternFill patternType="solid">
        <fgColor rgb="FFDDFFDD"/>
      </patternFill>
    </fill>
    <fill>
      <patternFill patternType="solid">
        <fgColor rgb="FFEEDDFF"/>
      </patternFill>
    </fill>
    <fill>
      <patternFill patternType="solid">
        <fgColor rgb="FFFFE8CC"/>
      </patternFill>
    </fill>
    <fill>
      <patternFill patternType="solid">
        <fgColor rgb="FFFFD6E0"/>
      </patternFill>
    </fill>
    <fill>
      <patternFill patternType="solid">
        <fgColor rgb="FFC55A11"/>
      </patternFill>
    </fill>
    <fill>
      <patternFill patternType="solid">
        <fgColor rgb="FF843C0C"/>
      </patternFill>
    </fill>
    <fill>
      <patternFill patternType="solid">
        <fgColor rgb="FF375623"/>
      </patternFill>
    </fill>
    <fill>
      <patternFill patternType="solid">
        <fgColor rgb="FF595959"/>
      </patternFill>
    </fill>
    <fill>
      <patternFill patternType="solid">
        <fgColor rgb="FFD6E4F0"/>
      </patternFill>
    </fill>
    <fill>
      <patternFill patternType="solid">
        <fgColor rgb="FFF4CCCC"/>
      </patternFill>
    </fill>
    <fill>
      <patternFill patternType="solid">
        <fgColor rgb="FFE2EFDA"/>
      </patternFill>
    </fill>
    <fill>
      <patternFill patternType="solid">
        <fgColor rgb="FFF2F2F2"/>
      </patternFill>
    </fill>
    <fill>
      <patternFill patternType="solid">
        <fgColor rgb="FFFCE4D6"/>
      </patternFill>
    </fill>
    <fill>
      <patternFill patternType="solid">
        <fgColor rgb="FFF8CBAD"/>
      </patternFill>
    </fill>
    <fill>
      <patternFill patternType="solid">
        <fgColor rgb="FFFFFACD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/>
      <bottom style="thin">
        <color rgb="FFBFBFBF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2" fillId="3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 indent="1"/>
    </xf>
    <xf numFmtId="0" fontId="4" fillId="5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left" vertical="center" indent="1"/>
    </xf>
    <xf numFmtId="0" fontId="3" fillId="7" borderId="1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6" fillId="12" borderId="1" xfId="0" applyFont="1" applyFill="1" applyBorder="1" applyAlignment="1">
      <alignment horizontal="center" vertical="center" wrapText="1"/>
    </xf>
    <xf numFmtId="0" fontId="6" fillId="13" borderId="1" xfId="0" applyFont="1" applyFill="1" applyBorder="1" applyAlignment="1">
      <alignment horizontal="center" vertical="center" wrapText="1"/>
    </xf>
    <xf numFmtId="0" fontId="6" fillId="14" borderId="1" xfId="0" applyFont="1" applyFill="1" applyBorder="1" applyAlignment="1">
      <alignment horizontal="center" vertical="center" wrapText="1"/>
    </xf>
    <xf numFmtId="0" fontId="6" fillId="15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/>
    </xf>
    <xf numFmtId="0" fontId="8" fillId="16" borderId="1" xfId="0" applyFont="1" applyFill="1" applyBorder="1" applyAlignment="1">
      <alignment horizontal="center" vertical="center"/>
    </xf>
    <xf numFmtId="0" fontId="9" fillId="16" borderId="1" xfId="0" applyFont="1" applyFill="1" applyBorder="1" applyAlignment="1">
      <alignment horizontal="center" vertical="center"/>
    </xf>
    <xf numFmtId="0" fontId="10" fillId="5" borderId="1" xfId="0" applyFont="1" applyFill="1" applyBorder="1" applyAlignment="1">
      <alignment horizontal="center" vertical="center"/>
    </xf>
    <xf numFmtId="0" fontId="3" fillId="17" borderId="1" xfId="0" applyFont="1" applyFill="1" applyBorder="1" applyAlignment="1">
      <alignment horizontal="center" vertical="center"/>
    </xf>
    <xf numFmtId="0" fontId="11" fillId="16" borderId="1" xfId="0" applyFont="1" applyFill="1" applyBorder="1" applyAlignment="1">
      <alignment horizontal="center" vertical="center"/>
    </xf>
    <xf numFmtId="0" fontId="10" fillId="18" borderId="1" xfId="0" applyFont="1" applyFill="1" applyBorder="1" applyAlignment="1">
      <alignment horizontal="center" vertical="center"/>
    </xf>
    <xf numFmtId="0" fontId="12" fillId="19" borderId="1" xfId="0" applyFont="1" applyFill="1" applyBorder="1" applyAlignment="1">
      <alignment horizontal="center" vertical="center"/>
    </xf>
    <xf numFmtId="0" fontId="3" fillId="19" borderId="1" xfId="0" applyFont="1" applyFill="1" applyBorder="1" applyAlignment="1">
      <alignment horizontal="center" vertical="center"/>
    </xf>
    <xf numFmtId="0" fontId="13" fillId="6" borderId="1" xfId="0" applyFont="1" applyFill="1" applyBorder="1" applyAlignment="1">
      <alignment horizontal="left" vertical="center"/>
    </xf>
    <xf numFmtId="0" fontId="14" fillId="20" borderId="1" xfId="0" applyFont="1" applyFill="1" applyBorder="1" applyAlignment="1">
      <alignment horizontal="center" vertical="center"/>
    </xf>
    <xf numFmtId="0" fontId="8" fillId="21" borderId="1" xfId="0" applyFont="1" applyFill="1" applyBorder="1" applyAlignment="1">
      <alignment horizontal="center" vertical="center"/>
    </xf>
    <xf numFmtId="0" fontId="9" fillId="21" borderId="1" xfId="0" applyFont="1" applyFill="1" applyBorder="1" applyAlignment="1">
      <alignment horizontal="center" vertical="center"/>
    </xf>
    <xf numFmtId="0" fontId="11" fillId="21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2" fillId="3" borderId="0" xfId="0" applyFont="1" applyFill="1" applyAlignment="1">
      <alignment horizontal="left" vertical="center" indent="1"/>
    </xf>
    <xf numFmtId="0" fontId="15" fillId="22" borderId="1" xfId="0" applyFont="1" applyFill="1" applyBorder="1" applyAlignment="1">
      <alignment horizontal="left" vertical="center" indent="1"/>
    </xf>
    <xf numFmtId="0" fontId="22" fillId="6" borderId="1" xfId="0" applyFont="1" applyFill="1" applyBorder="1" applyAlignment="1">
      <alignment horizontal="left" vertical="center" indent="1"/>
    </xf>
    <xf numFmtId="0" fontId="18" fillId="2" borderId="2" xfId="0" applyFont="1" applyFill="1" applyBorder="1" applyAlignment="1">
      <alignment horizontal="center" vertical="center"/>
    </xf>
    <xf numFmtId="0" fontId="23" fillId="2" borderId="1" xfId="0" applyFont="1" applyFill="1" applyBorder="1" applyAlignment="1">
      <alignment horizontal="center" vertical="center" wrapText="1"/>
    </xf>
    <xf numFmtId="0" fontId="23" fillId="15" borderId="1" xfId="0" applyFont="1" applyFill="1" applyBorder="1" applyAlignment="1">
      <alignment horizontal="center" vertical="center" wrapText="1"/>
    </xf>
  </cellXfs>
  <cellStyles count="1">
    <cellStyle name="표준" xfId="0" builtinId="0"/>
  </cellStyles>
  <dxfs count="4">
    <dxf>
      <font>
        <b/>
        <color rgb="FFFFFFFF"/>
        <name val="Arial"/>
      </font>
      <fill>
        <patternFill patternType="solid">
          <fgColor rgb="FF70AD47"/>
          <bgColor rgb="FF70AD47"/>
        </patternFill>
      </fill>
    </dxf>
    <dxf>
      <font>
        <b/>
        <color rgb="FFFFFFFF"/>
        <name val="Arial"/>
      </font>
      <fill>
        <patternFill patternType="solid">
          <fgColor rgb="FFF4B942"/>
          <bgColor rgb="FFF4B942"/>
        </patternFill>
      </fill>
    </dxf>
    <dxf>
      <font>
        <b/>
        <color rgb="FFFFFFFF"/>
        <name val="Arial"/>
      </font>
      <fill>
        <patternFill patternType="solid">
          <fgColor rgb="FF70AD47"/>
          <bgColor rgb="FF70AD47"/>
        </patternFill>
      </fill>
    </dxf>
    <dxf>
      <font>
        <b/>
        <color rgb="FFFFFFFF"/>
        <name val="Arial"/>
      </font>
      <fill>
        <patternFill patternType="solid">
          <fgColor rgb="FFFF0000"/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4"/>
  <sheetViews>
    <sheetView workbookViewId="0">
      <selection activeCell="B10" sqref="B10"/>
    </sheetView>
  </sheetViews>
  <sheetFormatPr defaultRowHeight="17.399999999999999" x14ac:dyDescent="0.4"/>
  <cols>
    <col min="1" max="1" width="22" customWidth="1"/>
    <col min="2" max="2" width="12" customWidth="1"/>
    <col min="3" max="3" width="50" customWidth="1"/>
  </cols>
  <sheetData>
    <row r="1" spans="1:4" ht="31.95" customHeight="1" x14ac:dyDescent="0.4">
      <c r="A1" s="31" t="s">
        <v>0</v>
      </c>
      <c r="B1" s="32"/>
      <c r="C1" s="32"/>
      <c r="D1" s="32"/>
    </row>
    <row r="2" spans="1:4" ht="22.05" customHeight="1" x14ac:dyDescent="0.4">
      <c r="A2" s="1" t="s">
        <v>1</v>
      </c>
      <c r="B2" s="2" t="s">
        <v>2</v>
      </c>
      <c r="C2" s="1" t="s">
        <v>3</v>
      </c>
    </row>
    <row r="3" spans="1:4" ht="19.95" customHeight="1" x14ac:dyDescent="0.4">
      <c r="A3" s="3" t="s">
        <v>4</v>
      </c>
      <c r="B3" s="4">
        <v>52</v>
      </c>
      <c r="C3" s="35" t="s">
        <v>70</v>
      </c>
    </row>
    <row r="4" spans="1:4" ht="19.95" customHeight="1" x14ac:dyDescent="0.4">
      <c r="A4" s="3" t="s">
        <v>5</v>
      </c>
      <c r="B4" s="4">
        <v>2</v>
      </c>
      <c r="C4" s="5" t="s">
        <v>6</v>
      </c>
    </row>
    <row r="5" spans="1:4" ht="19.95" customHeight="1" x14ac:dyDescent="0.4">
      <c r="A5" s="3" t="s">
        <v>7</v>
      </c>
      <c r="B5" s="4">
        <v>9</v>
      </c>
      <c r="C5" s="5" t="s">
        <v>8</v>
      </c>
    </row>
    <row r="6" spans="1:4" ht="19.95" customHeight="1" x14ac:dyDescent="0.4">
      <c r="A6" s="3" t="s">
        <v>9</v>
      </c>
      <c r="B6" s="4">
        <v>42</v>
      </c>
      <c r="C6" s="5" t="s">
        <v>10</v>
      </c>
    </row>
    <row r="9" spans="1:4" ht="22.05" customHeight="1" x14ac:dyDescent="0.4">
      <c r="A9" s="33" t="s">
        <v>11</v>
      </c>
      <c r="B9" s="32"/>
      <c r="C9" s="32"/>
    </row>
    <row r="10" spans="1:4" ht="19.95" customHeight="1" x14ac:dyDescent="0.4">
      <c r="A10" s="6" t="s">
        <v>12</v>
      </c>
      <c r="C10" s="5" t="s">
        <v>13</v>
      </c>
    </row>
    <row r="11" spans="1:4" ht="19.95" customHeight="1" x14ac:dyDescent="0.4">
      <c r="A11" s="7" t="s">
        <v>14</v>
      </c>
      <c r="C11" s="5" t="s">
        <v>13</v>
      </c>
    </row>
    <row r="12" spans="1:4" ht="19.95" customHeight="1" x14ac:dyDescent="0.4">
      <c r="A12" s="8" t="s">
        <v>15</v>
      </c>
      <c r="C12" s="5" t="s">
        <v>13</v>
      </c>
    </row>
    <row r="13" spans="1:4" ht="19.95" customHeight="1" x14ac:dyDescent="0.4">
      <c r="A13" s="9" t="s">
        <v>16</v>
      </c>
      <c r="C13" s="5" t="s">
        <v>17</v>
      </c>
    </row>
    <row r="14" spans="1:4" ht="19.95" customHeight="1" x14ac:dyDescent="0.4">
      <c r="A14" s="10" t="s">
        <v>18</v>
      </c>
      <c r="C14" s="5" t="s">
        <v>19</v>
      </c>
    </row>
  </sheetData>
  <mergeCells count="2">
    <mergeCell ref="A1:D1"/>
    <mergeCell ref="A9:C9"/>
  </mergeCells>
  <phoneticPr fontId="16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34"/>
  <sheetViews>
    <sheetView tabSelected="1" workbookViewId="0">
      <pane xSplit="2" ySplit="2" topLeftCell="C3" activePane="bottomRight" state="frozen"/>
      <selection pane="topRight"/>
      <selection pane="bottomLeft"/>
      <selection pane="bottomRight" activeCell="M3" sqref="M3"/>
    </sheetView>
  </sheetViews>
  <sheetFormatPr defaultRowHeight="17.399999999999999" x14ac:dyDescent="0.4"/>
  <cols>
    <col min="1" max="1" width="14" customWidth="1"/>
    <col min="2" max="2" width="5" customWidth="1"/>
    <col min="3" max="5" width="8" customWidth="1"/>
    <col min="6" max="6" width="9" customWidth="1"/>
    <col min="7" max="7" width="10" customWidth="1"/>
    <col min="8" max="8" width="9" customWidth="1"/>
    <col min="9" max="9" width="8" customWidth="1"/>
    <col min="10" max="10" width="14.296875" customWidth="1"/>
    <col min="11" max="11" width="10" customWidth="1"/>
    <col min="12" max="12" width="9.8984375" customWidth="1"/>
    <col min="13" max="13" width="12" customWidth="1"/>
    <col min="14" max="14" width="18" customWidth="1"/>
  </cols>
  <sheetData>
    <row r="1" spans="1:14" ht="34.049999999999997" customHeight="1" x14ac:dyDescent="0.4">
      <c r="A1" s="36" t="s">
        <v>71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</row>
    <row r="2" spans="1:14" ht="34.049999999999997" customHeight="1" x14ac:dyDescent="0.4">
      <c r="A2" s="11" t="s">
        <v>20</v>
      </c>
      <c r="B2" s="11" t="s">
        <v>21</v>
      </c>
      <c r="C2" s="12" t="s">
        <v>22</v>
      </c>
      <c r="D2" s="12" t="s">
        <v>23</v>
      </c>
      <c r="E2" s="12" t="s">
        <v>24</v>
      </c>
      <c r="F2" s="13" t="s">
        <v>25</v>
      </c>
      <c r="G2" s="13" t="s">
        <v>26</v>
      </c>
      <c r="H2" s="13" t="s">
        <v>27</v>
      </c>
      <c r="I2" s="14" t="s">
        <v>28</v>
      </c>
      <c r="J2" s="37" t="s">
        <v>72</v>
      </c>
      <c r="K2" s="15" t="s">
        <v>29</v>
      </c>
      <c r="L2" s="16" t="s">
        <v>30</v>
      </c>
      <c r="M2" s="38" t="s">
        <v>73</v>
      </c>
      <c r="N2" s="16" t="s">
        <v>31</v>
      </c>
    </row>
    <row r="3" spans="1:14" ht="22.05" customHeight="1" x14ac:dyDescent="0.4">
      <c r="A3" s="17" t="s">
        <v>32</v>
      </c>
      <c r="B3" s="17" t="s">
        <v>33</v>
      </c>
      <c r="C3" s="18">
        <f>설정!$B$3</f>
        <v>52</v>
      </c>
      <c r="D3" s="18">
        <f>설정!$B$4</f>
        <v>2</v>
      </c>
      <c r="E3" s="19">
        <v>0</v>
      </c>
      <c r="F3" s="20">
        <v>1</v>
      </c>
      <c r="G3" s="20">
        <v>20</v>
      </c>
      <c r="H3" s="20">
        <v>0</v>
      </c>
      <c r="I3" s="21">
        <f t="shared" ref="I3:I32" si="0">F3+G3+H3</f>
        <v>21</v>
      </c>
      <c r="J3" s="22">
        <f t="shared" ref="J3:J32" si="1">C3+D3+E3-I3</f>
        <v>33</v>
      </c>
      <c r="K3" s="23">
        <v>67</v>
      </c>
      <c r="L3" s="24">
        <f>설정!$B$6</f>
        <v>42</v>
      </c>
      <c r="M3" s="25">
        <f>IF(K3=0,"",K3-J3)</f>
        <v>34</v>
      </c>
      <c r="N3" s="26"/>
    </row>
    <row r="4" spans="1:14" ht="22.05" customHeight="1" x14ac:dyDescent="0.4">
      <c r="A4" s="17" t="s">
        <v>34</v>
      </c>
      <c r="B4" s="17" t="s">
        <v>35</v>
      </c>
      <c r="C4" s="18">
        <f>설정!$B$3</f>
        <v>52</v>
      </c>
      <c r="D4" s="18">
        <f>설정!$B$4</f>
        <v>2</v>
      </c>
      <c r="E4" s="19">
        <v>0</v>
      </c>
      <c r="F4" s="20">
        <v>1</v>
      </c>
      <c r="G4" s="20">
        <v>0</v>
      </c>
      <c r="H4" s="20">
        <v>0</v>
      </c>
      <c r="I4" s="21">
        <f t="shared" si="0"/>
        <v>1</v>
      </c>
      <c r="J4" s="22">
        <f t="shared" si="1"/>
        <v>53</v>
      </c>
      <c r="K4" s="23">
        <v>0</v>
      </c>
      <c r="L4" s="24">
        <f>설정!$B$6</f>
        <v>42</v>
      </c>
      <c r="M4" s="25" t="str">
        <f>IF(K4=0,"",K4-J4)</f>
        <v/>
      </c>
      <c r="N4" s="26"/>
    </row>
    <row r="5" spans="1:14" ht="22.05" customHeight="1" x14ac:dyDescent="0.4">
      <c r="A5" s="17" t="s">
        <v>36</v>
      </c>
      <c r="B5" s="17" t="s">
        <v>37</v>
      </c>
      <c r="C5" s="18">
        <f>설정!$B$3</f>
        <v>52</v>
      </c>
      <c r="D5" s="18">
        <f>설정!$B$4</f>
        <v>2</v>
      </c>
      <c r="E5" s="18">
        <f>설정!$B$5</f>
        <v>9</v>
      </c>
      <c r="F5" s="20">
        <v>1</v>
      </c>
      <c r="G5" s="20">
        <v>0</v>
      </c>
      <c r="H5" s="20">
        <v>0</v>
      </c>
      <c r="I5" s="21">
        <f t="shared" si="0"/>
        <v>1</v>
      </c>
      <c r="J5" s="22">
        <f t="shared" si="1"/>
        <v>62</v>
      </c>
      <c r="K5" s="23">
        <v>0</v>
      </c>
      <c r="L5" s="24">
        <f>설정!$B$6</f>
        <v>42</v>
      </c>
      <c r="M5" s="25" t="str">
        <f>IF(K5=0,"",K5-J5)</f>
        <v/>
      </c>
      <c r="N5" s="26"/>
    </row>
    <row r="6" spans="1:14" ht="22.05" customHeight="1" x14ac:dyDescent="0.4">
      <c r="A6" s="27" t="s">
        <v>38</v>
      </c>
      <c r="B6" s="27" t="s">
        <v>39</v>
      </c>
      <c r="C6" s="28">
        <f>설정!$B$3</f>
        <v>52</v>
      </c>
      <c r="D6" s="29">
        <v>0</v>
      </c>
      <c r="E6" s="28">
        <f>설정!$B$5</f>
        <v>9</v>
      </c>
      <c r="F6" s="20">
        <v>1</v>
      </c>
      <c r="G6" s="20">
        <v>0</v>
      </c>
      <c r="H6" s="20">
        <v>0</v>
      </c>
      <c r="I6" s="21">
        <f t="shared" si="0"/>
        <v>1</v>
      </c>
      <c r="J6" s="30">
        <f t="shared" si="1"/>
        <v>60</v>
      </c>
      <c r="K6" s="23">
        <v>0</v>
      </c>
      <c r="L6" s="24">
        <f>설정!$B$6</f>
        <v>42</v>
      </c>
      <c r="M6" s="25" t="str">
        <f>IF(K6=0,"",K6-J6)</f>
        <v/>
      </c>
      <c r="N6" s="26"/>
    </row>
    <row r="7" spans="1:14" ht="22.05" customHeight="1" x14ac:dyDescent="0.4">
      <c r="A7" s="27" t="s">
        <v>40</v>
      </c>
      <c r="B7" s="27" t="s">
        <v>41</v>
      </c>
      <c r="C7" s="28">
        <f>설정!$B$3</f>
        <v>52</v>
      </c>
      <c r="D7" s="29">
        <v>0</v>
      </c>
      <c r="E7" s="28">
        <f>설정!$B$5</f>
        <v>9</v>
      </c>
      <c r="F7" s="20">
        <v>1</v>
      </c>
      <c r="G7" s="20">
        <v>0</v>
      </c>
      <c r="H7" s="20">
        <v>0</v>
      </c>
      <c r="I7" s="21">
        <f t="shared" si="0"/>
        <v>1</v>
      </c>
      <c r="J7" s="30">
        <f t="shared" si="1"/>
        <v>60</v>
      </c>
      <c r="K7" s="23">
        <v>0</v>
      </c>
      <c r="L7" s="24">
        <f>설정!$B$6</f>
        <v>42</v>
      </c>
      <c r="M7" s="25" t="str">
        <f>IF(K7=0,"",K7-J7)</f>
        <v/>
      </c>
      <c r="N7" s="26"/>
    </row>
    <row r="8" spans="1:14" ht="22.05" customHeight="1" x14ac:dyDescent="0.4">
      <c r="A8" s="17" t="s">
        <v>42</v>
      </c>
      <c r="B8" s="17" t="s">
        <v>43</v>
      </c>
      <c r="C8" s="18">
        <f>설정!$B$3</f>
        <v>52</v>
      </c>
      <c r="D8" s="18">
        <f>설정!$B$4</f>
        <v>2</v>
      </c>
      <c r="E8" s="19">
        <v>0</v>
      </c>
      <c r="F8" s="20">
        <v>1</v>
      </c>
      <c r="G8" s="20">
        <v>0</v>
      </c>
      <c r="H8" s="20">
        <v>0</v>
      </c>
      <c r="I8" s="21">
        <f t="shared" si="0"/>
        <v>1</v>
      </c>
      <c r="J8" s="22">
        <f t="shared" si="1"/>
        <v>53</v>
      </c>
      <c r="K8" s="23">
        <v>0</v>
      </c>
      <c r="L8" s="24">
        <f>설정!$B$6</f>
        <v>42</v>
      </c>
      <c r="M8" s="25" t="str">
        <f>IF(K8=0,"",K8-J8)</f>
        <v/>
      </c>
      <c r="N8" s="26"/>
    </row>
    <row r="9" spans="1:14" ht="22.05" customHeight="1" x14ac:dyDescent="0.4">
      <c r="A9" s="17" t="s">
        <v>44</v>
      </c>
      <c r="B9" s="17" t="s">
        <v>45</v>
      </c>
      <c r="C9" s="18">
        <f>설정!$B$3</f>
        <v>52</v>
      </c>
      <c r="D9" s="18">
        <f>설정!$B$4</f>
        <v>2</v>
      </c>
      <c r="E9" s="19">
        <v>0</v>
      </c>
      <c r="F9" s="20">
        <v>1</v>
      </c>
      <c r="G9" s="20">
        <v>0</v>
      </c>
      <c r="H9" s="20">
        <v>0</v>
      </c>
      <c r="I9" s="21">
        <f t="shared" si="0"/>
        <v>1</v>
      </c>
      <c r="J9" s="22">
        <f t="shared" si="1"/>
        <v>53</v>
      </c>
      <c r="K9" s="23">
        <v>0</v>
      </c>
      <c r="L9" s="24">
        <f>설정!$B$6</f>
        <v>42</v>
      </c>
      <c r="M9" s="25" t="str">
        <f>IF(K9=0,"",K9-J9)</f>
        <v/>
      </c>
      <c r="N9" s="26"/>
    </row>
    <row r="10" spans="1:14" ht="22.05" customHeight="1" x14ac:dyDescent="0.4">
      <c r="A10" s="17" t="s">
        <v>46</v>
      </c>
      <c r="B10" s="17" t="s">
        <v>33</v>
      </c>
      <c r="C10" s="18">
        <f>설정!$B$3</f>
        <v>52</v>
      </c>
      <c r="D10" s="18">
        <f>설정!$B$4</f>
        <v>2</v>
      </c>
      <c r="E10" s="19">
        <v>0</v>
      </c>
      <c r="F10" s="20">
        <v>1</v>
      </c>
      <c r="G10" s="20">
        <v>0</v>
      </c>
      <c r="H10" s="20">
        <v>0</v>
      </c>
      <c r="I10" s="21">
        <f t="shared" si="0"/>
        <v>1</v>
      </c>
      <c r="J10" s="22">
        <f t="shared" si="1"/>
        <v>53</v>
      </c>
      <c r="K10" s="23">
        <v>0</v>
      </c>
      <c r="L10" s="24">
        <f>설정!$B$6</f>
        <v>42</v>
      </c>
      <c r="M10" s="25" t="str">
        <f>IF(K10=0,"",K10-J10)</f>
        <v/>
      </c>
      <c r="N10" s="26"/>
    </row>
    <row r="11" spans="1:14" ht="22.05" customHeight="1" x14ac:dyDescent="0.4">
      <c r="A11" s="17" t="s">
        <v>47</v>
      </c>
      <c r="B11" s="17" t="s">
        <v>35</v>
      </c>
      <c r="C11" s="18">
        <f>설정!$B$3</f>
        <v>52</v>
      </c>
      <c r="D11" s="18">
        <f>설정!$B$4</f>
        <v>2</v>
      </c>
      <c r="E11" s="19">
        <v>0</v>
      </c>
      <c r="F11" s="20">
        <v>1</v>
      </c>
      <c r="G11" s="20">
        <v>0</v>
      </c>
      <c r="H11" s="20">
        <v>0</v>
      </c>
      <c r="I11" s="21">
        <f t="shared" si="0"/>
        <v>1</v>
      </c>
      <c r="J11" s="22">
        <f t="shared" si="1"/>
        <v>53</v>
      </c>
      <c r="K11" s="23">
        <v>0</v>
      </c>
      <c r="L11" s="24">
        <f>설정!$B$6</f>
        <v>42</v>
      </c>
      <c r="M11" s="25" t="str">
        <f>IF(K11=0,"",K11-J11)</f>
        <v/>
      </c>
      <c r="N11" s="26"/>
    </row>
    <row r="12" spans="1:14" ht="22.05" customHeight="1" x14ac:dyDescent="0.4">
      <c r="A12" s="17" t="s">
        <v>48</v>
      </c>
      <c r="B12" s="17" t="s">
        <v>37</v>
      </c>
      <c r="C12" s="18">
        <f>설정!$B$3</f>
        <v>52</v>
      </c>
      <c r="D12" s="18">
        <f>설정!$B$4</f>
        <v>2</v>
      </c>
      <c r="E12" s="18">
        <f>설정!$B$5</f>
        <v>9</v>
      </c>
      <c r="F12" s="20">
        <v>1</v>
      </c>
      <c r="G12" s="20">
        <v>0</v>
      </c>
      <c r="H12" s="20">
        <v>0</v>
      </c>
      <c r="I12" s="21">
        <f t="shared" si="0"/>
        <v>1</v>
      </c>
      <c r="J12" s="22">
        <f t="shared" si="1"/>
        <v>62</v>
      </c>
      <c r="K12" s="23">
        <v>0</v>
      </c>
      <c r="L12" s="24">
        <f>설정!$B$6</f>
        <v>42</v>
      </c>
      <c r="M12" s="25" t="str">
        <f>IF(K12=0,"",K12-J12)</f>
        <v/>
      </c>
      <c r="N12" s="26"/>
    </row>
    <row r="13" spans="1:14" ht="22.05" customHeight="1" x14ac:dyDescent="0.4">
      <c r="A13" s="27" t="s">
        <v>49</v>
      </c>
      <c r="B13" s="27" t="s">
        <v>39</v>
      </c>
      <c r="C13" s="28">
        <f>설정!$B$3</f>
        <v>52</v>
      </c>
      <c r="D13" s="29">
        <v>0</v>
      </c>
      <c r="E13" s="28">
        <f>설정!$B$5</f>
        <v>9</v>
      </c>
      <c r="F13" s="20">
        <v>1</v>
      </c>
      <c r="G13" s="20">
        <v>0</v>
      </c>
      <c r="H13" s="20">
        <v>0</v>
      </c>
      <c r="I13" s="21">
        <f t="shared" si="0"/>
        <v>1</v>
      </c>
      <c r="J13" s="30">
        <f t="shared" si="1"/>
        <v>60</v>
      </c>
      <c r="K13" s="23">
        <v>0</v>
      </c>
      <c r="L13" s="24">
        <f>설정!$B$6</f>
        <v>42</v>
      </c>
      <c r="M13" s="25" t="str">
        <f>IF(K13=0,"",K13-J13)</f>
        <v/>
      </c>
      <c r="N13" s="26"/>
    </row>
    <row r="14" spans="1:14" ht="22.05" customHeight="1" x14ac:dyDescent="0.4">
      <c r="A14" s="27" t="s">
        <v>50</v>
      </c>
      <c r="B14" s="27" t="s">
        <v>41</v>
      </c>
      <c r="C14" s="28">
        <f>설정!$B$3</f>
        <v>52</v>
      </c>
      <c r="D14" s="29">
        <v>0</v>
      </c>
      <c r="E14" s="28">
        <f>설정!$B$5</f>
        <v>9</v>
      </c>
      <c r="F14" s="20">
        <v>1</v>
      </c>
      <c r="G14" s="20">
        <v>0</v>
      </c>
      <c r="H14" s="20">
        <v>0</v>
      </c>
      <c r="I14" s="21">
        <f t="shared" si="0"/>
        <v>1</v>
      </c>
      <c r="J14" s="30">
        <f t="shared" si="1"/>
        <v>60</v>
      </c>
      <c r="K14" s="23">
        <v>0</v>
      </c>
      <c r="L14" s="24">
        <f>설정!$B$6</f>
        <v>42</v>
      </c>
      <c r="M14" s="25" t="str">
        <f>IF(K14=0,"",K14-J14)</f>
        <v/>
      </c>
      <c r="N14" s="26"/>
    </row>
    <row r="15" spans="1:14" ht="22.05" customHeight="1" x14ac:dyDescent="0.4">
      <c r="A15" s="17" t="s">
        <v>51</v>
      </c>
      <c r="B15" s="17" t="s">
        <v>43</v>
      </c>
      <c r="C15" s="18">
        <f>설정!$B$3</f>
        <v>52</v>
      </c>
      <c r="D15" s="18">
        <f>설정!$B$4</f>
        <v>2</v>
      </c>
      <c r="E15" s="19">
        <v>0</v>
      </c>
      <c r="F15" s="20">
        <v>1</v>
      </c>
      <c r="G15" s="20">
        <v>0</v>
      </c>
      <c r="H15" s="20">
        <v>0</v>
      </c>
      <c r="I15" s="21">
        <f t="shared" si="0"/>
        <v>1</v>
      </c>
      <c r="J15" s="22">
        <f t="shared" si="1"/>
        <v>53</v>
      </c>
      <c r="K15" s="23">
        <v>0</v>
      </c>
      <c r="L15" s="24">
        <f>설정!$B$6</f>
        <v>42</v>
      </c>
      <c r="M15" s="25" t="str">
        <f>IF(K15=0,"",K15-J15)</f>
        <v/>
      </c>
      <c r="N15" s="26"/>
    </row>
    <row r="16" spans="1:14" ht="22.05" customHeight="1" x14ac:dyDescent="0.4">
      <c r="A16" s="17" t="s">
        <v>52</v>
      </c>
      <c r="B16" s="17" t="s">
        <v>45</v>
      </c>
      <c r="C16" s="18">
        <f>설정!$B$3</f>
        <v>52</v>
      </c>
      <c r="D16" s="18">
        <f>설정!$B$4</f>
        <v>2</v>
      </c>
      <c r="E16" s="19">
        <v>0</v>
      </c>
      <c r="F16" s="20">
        <v>1</v>
      </c>
      <c r="G16" s="20">
        <v>0</v>
      </c>
      <c r="H16" s="20">
        <v>0</v>
      </c>
      <c r="I16" s="21">
        <f t="shared" si="0"/>
        <v>1</v>
      </c>
      <c r="J16" s="22">
        <f t="shared" si="1"/>
        <v>53</v>
      </c>
      <c r="K16" s="23">
        <v>0</v>
      </c>
      <c r="L16" s="24">
        <f>설정!$B$6</f>
        <v>42</v>
      </c>
      <c r="M16" s="25" t="str">
        <f>IF(K16=0,"",K16-J16)</f>
        <v/>
      </c>
      <c r="N16" s="26"/>
    </row>
    <row r="17" spans="1:14" ht="22.05" customHeight="1" x14ac:dyDescent="0.4">
      <c r="A17" s="17" t="s">
        <v>53</v>
      </c>
      <c r="B17" s="17" t="s">
        <v>33</v>
      </c>
      <c r="C17" s="18">
        <f>설정!$B$3</f>
        <v>52</v>
      </c>
      <c r="D17" s="18">
        <f>설정!$B$4</f>
        <v>2</v>
      </c>
      <c r="E17" s="19">
        <v>0</v>
      </c>
      <c r="F17" s="20">
        <v>1</v>
      </c>
      <c r="G17" s="20">
        <v>0</v>
      </c>
      <c r="H17" s="20">
        <v>0</v>
      </c>
      <c r="I17" s="21">
        <f t="shared" si="0"/>
        <v>1</v>
      </c>
      <c r="J17" s="22">
        <f t="shared" si="1"/>
        <v>53</v>
      </c>
      <c r="K17" s="23">
        <v>0</v>
      </c>
      <c r="L17" s="24">
        <f>설정!$B$6</f>
        <v>42</v>
      </c>
      <c r="M17" s="25" t="str">
        <f>IF(K17=0,"",K17-J17)</f>
        <v/>
      </c>
      <c r="N17" s="26"/>
    </row>
    <row r="18" spans="1:14" ht="22.05" customHeight="1" x14ac:dyDescent="0.4">
      <c r="A18" s="17" t="s">
        <v>54</v>
      </c>
      <c r="B18" s="17" t="s">
        <v>35</v>
      </c>
      <c r="C18" s="18">
        <f>설정!$B$3</f>
        <v>52</v>
      </c>
      <c r="D18" s="18">
        <f>설정!$B$4</f>
        <v>2</v>
      </c>
      <c r="E18" s="19">
        <v>0</v>
      </c>
      <c r="F18" s="20">
        <v>1</v>
      </c>
      <c r="G18" s="20">
        <v>0</v>
      </c>
      <c r="H18" s="20">
        <v>0</v>
      </c>
      <c r="I18" s="21">
        <f t="shared" si="0"/>
        <v>1</v>
      </c>
      <c r="J18" s="22">
        <f t="shared" si="1"/>
        <v>53</v>
      </c>
      <c r="K18" s="23">
        <v>0</v>
      </c>
      <c r="L18" s="24">
        <f>설정!$B$6</f>
        <v>42</v>
      </c>
      <c r="M18" s="25" t="str">
        <f>IF(K18=0,"",K18-J18)</f>
        <v/>
      </c>
      <c r="N18" s="26"/>
    </row>
    <row r="19" spans="1:14" ht="22.05" customHeight="1" x14ac:dyDescent="0.4">
      <c r="A19" s="17" t="s">
        <v>55</v>
      </c>
      <c r="B19" s="17" t="s">
        <v>37</v>
      </c>
      <c r="C19" s="18">
        <f>설정!$B$3</f>
        <v>52</v>
      </c>
      <c r="D19" s="18">
        <f>설정!$B$4</f>
        <v>2</v>
      </c>
      <c r="E19" s="18">
        <f>설정!$B$5</f>
        <v>9</v>
      </c>
      <c r="F19" s="20">
        <v>1</v>
      </c>
      <c r="G19" s="20">
        <v>0</v>
      </c>
      <c r="H19" s="20">
        <v>0</v>
      </c>
      <c r="I19" s="21">
        <f t="shared" si="0"/>
        <v>1</v>
      </c>
      <c r="J19" s="22">
        <f t="shared" si="1"/>
        <v>62</v>
      </c>
      <c r="K19" s="23">
        <v>0</v>
      </c>
      <c r="L19" s="24">
        <f>설정!$B$6</f>
        <v>42</v>
      </c>
      <c r="M19" s="25" t="str">
        <f>IF(K19=0,"",K19-J19)</f>
        <v/>
      </c>
      <c r="N19" s="26"/>
    </row>
    <row r="20" spans="1:14" ht="22.05" customHeight="1" x14ac:dyDescent="0.4">
      <c r="A20" s="27" t="s">
        <v>56</v>
      </c>
      <c r="B20" s="27" t="s">
        <v>39</v>
      </c>
      <c r="C20" s="28">
        <f>설정!$B$3</f>
        <v>52</v>
      </c>
      <c r="D20" s="29">
        <v>0</v>
      </c>
      <c r="E20" s="28">
        <f>설정!$B$5</f>
        <v>9</v>
      </c>
      <c r="F20" s="20">
        <v>1</v>
      </c>
      <c r="G20" s="20">
        <v>0</v>
      </c>
      <c r="H20" s="20">
        <v>0</v>
      </c>
      <c r="I20" s="21">
        <f t="shared" si="0"/>
        <v>1</v>
      </c>
      <c r="J20" s="30">
        <f t="shared" si="1"/>
        <v>60</v>
      </c>
      <c r="K20" s="23">
        <v>0</v>
      </c>
      <c r="L20" s="24">
        <f>설정!$B$6</f>
        <v>42</v>
      </c>
      <c r="M20" s="25" t="str">
        <f>IF(K20=0,"",K20-J20)</f>
        <v/>
      </c>
      <c r="N20" s="26"/>
    </row>
    <row r="21" spans="1:14" ht="22.05" customHeight="1" x14ac:dyDescent="0.4">
      <c r="A21" s="27" t="s">
        <v>57</v>
      </c>
      <c r="B21" s="27" t="s">
        <v>41</v>
      </c>
      <c r="C21" s="28">
        <f>설정!$B$3</f>
        <v>52</v>
      </c>
      <c r="D21" s="29">
        <v>0</v>
      </c>
      <c r="E21" s="28">
        <f>설정!$B$5</f>
        <v>9</v>
      </c>
      <c r="F21" s="20">
        <v>1</v>
      </c>
      <c r="G21" s="20">
        <v>0</v>
      </c>
      <c r="H21" s="20">
        <v>0</v>
      </c>
      <c r="I21" s="21">
        <f t="shared" si="0"/>
        <v>1</v>
      </c>
      <c r="J21" s="30">
        <f t="shared" si="1"/>
        <v>60</v>
      </c>
      <c r="K21" s="23">
        <v>0</v>
      </c>
      <c r="L21" s="24">
        <f>설정!$B$6</f>
        <v>42</v>
      </c>
      <c r="M21" s="25" t="str">
        <f>IF(K21=0,"",K21-J21)</f>
        <v/>
      </c>
      <c r="N21" s="26"/>
    </row>
    <row r="22" spans="1:14" ht="22.05" customHeight="1" x14ac:dyDescent="0.4">
      <c r="A22" s="17" t="s">
        <v>58</v>
      </c>
      <c r="B22" s="17" t="s">
        <v>43</v>
      </c>
      <c r="C22" s="18">
        <f>설정!$B$3</f>
        <v>52</v>
      </c>
      <c r="D22" s="18">
        <f>설정!$B$4</f>
        <v>2</v>
      </c>
      <c r="E22" s="19">
        <v>0</v>
      </c>
      <c r="F22" s="20">
        <v>1</v>
      </c>
      <c r="G22" s="20">
        <v>0</v>
      </c>
      <c r="H22" s="20">
        <v>0</v>
      </c>
      <c r="I22" s="21">
        <f t="shared" si="0"/>
        <v>1</v>
      </c>
      <c r="J22" s="22">
        <f t="shared" si="1"/>
        <v>53</v>
      </c>
      <c r="K22" s="23">
        <v>0</v>
      </c>
      <c r="L22" s="24">
        <f>설정!$B$6</f>
        <v>42</v>
      </c>
      <c r="M22" s="25" t="str">
        <f>IF(K22=0,"",K22-J22)</f>
        <v/>
      </c>
      <c r="N22" s="26"/>
    </row>
    <row r="23" spans="1:14" ht="22.05" customHeight="1" x14ac:dyDescent="0.4">
      <c r="A23" s="17" t="s">
        <v>59</v>
      </c>
      <c r="B23" s="17" t="s">
        <v>45</v>
      </c>
      <c r="C23" s="18">
        <f>설정!$B$3</f>
        <v>52</v>
      </c>
      <c r="D23" s="18">
        <f>설정!$B$4</f>
        <v>2</v>
      </c>
      <c r="E23" s="19">
        <v>0</v>
      </c>
      <c r="F23" s="20">
        <v>1</v>
      </c>
      <c r="G23" s="20">
        <v>0</v>
      </c>
      <c r="H23" s="20">
        <v>0</v>
      </c>
      <c r="I23" s="21">
        <f t="shared" si="0"/>
        <v>1</v>
      </c>
      <c r="J23" s="22">
        <f t="shared" si="1"/>
        <v>53</v>
      </c>
      <c r="K23" s="23">
        <v>0</v>
      </c>
      <c r="L23" s="24">
        <f>설정!$B$6</f>
        <v>42</v>
      </c>
      <c r="M23" s="25" t="str">
        <f>IF(K23=0,"",K23-J23)</f>
        <v/>
      </c>
      <c r="N23" s="26"/>
    </row>
    <row r="24" spans="1:14" ht="22.05" customHeight="1" x14ac:dyDescent="0.4">
      <c r="A24" s="17" t="s">
        <v>60</v>
      </c>
      <c r="B24" s="17" t="s">
        <v>33</v>
      </c>
      <c r="C24" s="18">
        <f>설정!$B$3</f>
        <v>52</v>
      </c>
      <c r="D24" s="18">
        <f>설정!$B$4</f>
        <v>2</v>
      </c>
      <c r="E24" s="19">
        <v>0</v>
      </c>
      <c r="F24" s="20">
        <v>1</v>
      </c>
      <c r="G24" s="20">
        <v>0</v>
      </c>
      <c r="H24" s="20">
        <v>0</v>
      </c>
      <c r="I24" s="21">
        <f t="shared" si="0"/>
        <v>1</v>
      </c>
      <c r="J24" s="22">
        <f t="shared" si="1"/>
        <v>53</v>
      </c>
      <c r="K24" s="23">
        <v>0</v>
      </c>
      <c r="L24" s="24">
        <f>설정!$B$6</f>
        <v>42</v>
      </c>
      <c r="M24" s="25" t="str">
        <f>IF(K24=0,"",K24-J24)</f>
        <v/>
      </c>
      <c r="N24" s="26"/>
    </row>
    <row r="25" spans="1:14" ht="22.05" customHeight="1" x14ac:dyDescent="0.4">
      <c r="A25" s="17" t="s">
        <v>61</v>
      </c>
      <c r="B25" s="17" t="s">
        <v>35</v>
      </c>
      <c r="C25" s="18">
        <f>설정!$B$3</f>
        <v>52</v>
      </c>
      <c r="D25" s="18">
        <f>설정!$B$4</f>
        <v>2</v>
      </c>
      <c r="E25" s="19">
        <v>0</v>
      </c>
      <c r="F25" s="20">
        <v>1</v>
      </c>
      <c r="G25" s="20">
        <v>0</v>
      </c>
      <c r="H25" s="20">
        <v>0</v>
      </c>
      <c r="I25" s="21">
        <f t="shared" si="0"/>
        <v>1</v>
      </c>
      <c r="J25" s="22">
        <f t="shared" si="1"/>
        <v>53</v>
      </c>
      <c r="K25" s="23">
        <v>0</v>
      </c>
      <c r="L25" s="24">
        <f>설정!$B$6</f>
        <v>42</v>
      </c>
      <c r="M25" s="25" t="str">
        <f>IF(K25=0,"",K25-J25)</f>
        <v/>
      </c>
      <c r="N25" s="26"/>
    </row>
    <row r="26" spans="1:14" ht="22.05" customHeight="1" x14ac:dyDescent="0.4">
      <c r="A26" s="17" t="s">
        <v>62</v>
      </c>
      <c r="B26" s="17" t="s">
        <v>37</v>
      </c>
      <c r="C26" s="18">
        <f>설정!$B$3</f>
        <v>52</v>
      </c>
      <c r="D26" s="18">
        <f>설정!$B$4</f>
        <v>2</v>
      </c>
      <c r="E26" s="18">
        <f>설정!$B$5</f>
        <v>9</v>
      </c>
      <c r="F26" s="20">
        <v>1</v>
      </c>
      <c r="G26" s="20">
        <v>0</v>
      </c>
      <c r="H26" s="20">
        <v>0</v>
      </c>
      <c r="I26" s="21">
        <f t="shared" si="0"/>
        <v>1</v>
      </c>
      <c r="J26" s="22">
        <f t="shared" si="1"/>
        <v>62</v>
      </c>
      <c r="K26" s="23">
        <v>0</v>
      </c>
      <c r="L26" s="24">
        <f>설정!$B$6</f>
        <v>42</v>
      </c>
      <c r="M26" s="25" t="str">
        <f>IF(K26=0,"",K26-J26)</f>
        <v/>
      </c>
      <c r="N26" s="26"/>
    </row>
    <row r="27" spans="1:14" ht="22.05" customHeight="1" x14ac:dyDescent="0.4">
      <c r="A27" s="27" t="s">
        <v>63</v>
      </c>
      <c r="B27" s="27" t="s">
        <v>39</v>
      </c>
      <c r="C27" s="28">
        <f>설정!$B$3</f>
        <v>52</v>
      </c>
      <c r="D27" s="29">
        <v>0</v>
      </c>
      <c r="E27" s="28">
        <f>설정!$B$5</f>
        <v>9</v>
      </c>
      <c r="F27" s="20">
        <v>1</v>
      </c>
      <c r="G27" s="20">
        <v>0</v>
      </c>
      <c r="H27" s="20">
        <v>0</v>
      </c>
      <c r="I27" s="21">
        <f t="shared" si="0"/>
        <v>1</v>
      </c>
      <c r="J27" s="30">
        <f t="shared" si="1"/>
        <v>60</v>
      </c>
      <c r="K27" s="23">
        <v>0</v>
      </c>
      <c r="L27" s="24">
        <f>설정!$B$6</f>
        <v>42</v>
      </c>
      <c r="M27" s="25" t="str">
        <f>IF(K27=0,"",K27-J27)</f>
        <v/>
      </c>
      <c r="N27" s="26"/>
    </row>
    <row r="28" spans="1:14" ht="22.05" customHeight="1" x14ac:dyDescent="0.4">
      <c r="A28" s="27" t="s">
        <v>64</v>
      </c>
      <c r="B28" s="27" t="s">
        <v>41</v>
      </c>
      <c r="C28" s="28">
        <f>설정!$B$3</f>
        <v>52</v>
      </c>
      <c r="D28" s="29">
        <v>0</v>
      </c>
      <c r="E28" s="28">
        <f>설정!$B$5</f>
        <v>9</v>
      </c>
      <c r="F28" s="20">
        <v>1</v>
      </c>
      <c r="G28" s="20">
        <v>0</v>
      </c>
      <c r="H28" s="20">
        <v>0</v>
      </c>
      <c r="I28" s="21">
        <f t="shared" si="0"/>
        <v>1</v>
      </c>
      <c r="J28" s="30">
        <f t="shared" si="1"/>
        <v>60</v>
      </c>
      <c r="K28" s="23">
        <v>0</v>
      </c>
      <c r="L28" s="24">
        <f>설정!$B$6</f>
        <v>42</v>
      </c>
      <c r="M28" s="25" t="str">
        <f>IF(K28=0,"",K28-J28)</f>
        <v/>
      </c>
      <c r="N28" s="26"/>
    </row>
    <row r="29" spans="1:14" ht="22.05" customHeight="1" x14ac:dyDescent="0.4">
      <c r="A29" s="17" t="s">
        <v>65</v>
      </c>
      <c r="B29" s="17" t="s">
        <v>43</v>
      </c>
      <c r="C29" s="18">
        <f>설정!$B$3</f>
        <v>52</v>
      </c>
      <c r="D29" s="18">
        <f>설정!$B$4</f>
        <v>2</v>
      </c>
      <c r="E29" s="19">
        <v>0</v>
      </c>
      <c r="F29" s="20">
        <v>1</v>
      </c>
      <c r="G29" s="20">
        <v>0</v>
      </c>
      <c r="H29" s="20">
        <v>0</v>
      </c>
      <c r="I29" s="21">
        <f t="shared" si="0"/>
        <v>1</v>
      </c>
      <c r="J29" s="22">
        <f t="shared" si="1"/>
        <v>53</v>
      </c>
      <c r="K29" s="23">
        <v>0</v>
      </c>
      <c r="L29" s="24">
        <f>설정!$B$6</f>
        <v>42</v>
      </c>
      <c r="M29" s="25" t="str">
        <f>IF(K29=0,"",K29-J29)</f>
        <v/>
      </c>
      <c r="N29" s="26"/>
    </row>
    <row r="30" spans="1:14" ht="22.05" customHeight="1" x14ac:dyDescent="0.4">
      <c r="A30" s="17" t="s">
        <v>66</v>
      </c>
      <c r="B30" s="17" t="s">
        <v>45</v>
      </c>
      <c r="C30" s="18">
        <f>설정!$B$3</f>
        <v>52</v>
      </c>
      <c r="D30" s="18">
        <f>설정!$B$4</f>
        <v>2</v>
      </c>
      <c r="E30" s="19">
        <v>0</v>
      </c>
      <c r="F30" s="20">
        <v>1</v>
      </c>
      <c r="G30" s="20">
        <v>0</v>
      </c>
      <c r="H30" s="20">
        <v>0</v>
      </c>
      <c r="I30" s="21">
        <f t="shared" si="0"/>
        <v>1</v>
      </c>
      <c r="J30" s="22">
        <f t="shared" si="1"/>
        <v>53</v>
      </c>
      <c r="K30" s="23">
        <v>0</v>
      </c>
      <c r="L30" s="24">
        <f>설정!$B$6</f>
        <v>42</v>
      </c>
      <c r="M30" s="25" t="str">
        <f>IF(K30=0,"",K30-J30)</f>
        <v/>
      </c>
      <c r="N30" s="26"/>
    </row>
    <row r="31" spans="1:14" ht="22.05" customHeight="1" x14ac:dyDescent="0.4">
      <c r="A31" s="17" t="s">
        <v>67</v>
      </c>
      <c r="B31" s="17" t="s">
        <v>33</v>
      </c>
      <c r="C31" s="18">
        <f>설정!$B$3</f>
        <v>52</v>
      </c>
      <c r="D31" s="18">
        <f>설정!$B$4</f>
        <v>2</v>
      </c>
      <c r="E31" s="19">
        <v>0</v>
      </c>
      <c r="F31" s="20">
        <v>1</v>
      </c>
      <c r="G31" s="20">
        <v>0</v>
      </c>
      <c r="H31" s="20">
        <v>0</v>
      </c>
      <c r="I31" s="21">
        <f t="shared" si="0"/>
        <v>1</v>
      </c>
      <c r="J31" s="22">
        <f t="shared" si="1"/>
        <v>53</v>
      </c>
      <c r="K31" s="23">
        <v>0</v>
      </c>
      <c r="L31" s="24">
        <f>설정!$B$6</f>
        <v>42</v>
      </c>
      <c r="M31" s="25" t="str">
        <f>IF(K31=0,"",K31-J31)</f>
        <v/>
      </c>
      <c r="N31" s="26"/>
    </row>
    <row r="32" spans="1:14" ht="22.05" customHeight="1" x14ac:dyDescent="0.4">
      <c r="A32" s="17" t="s">
        <v>68</v>
      </c>
      <c r="B32" s="17" t="s">
        <v>35</v>
      </c>
      <c r="C32" s="18">
        <f>설정!$B$3</f>
        <v>52</v>
      </c>
      <c r="D32" s="18">
        <f>설정!$B$4</f>
        <v>2</v>
      </c>
      <c r="E32" s="19">
        <v>0</v>
      </c>
      <c r="F32" s="20">
        <v>1</v>
      </c>
      <c r="G32" s="20">
        <v>0</v>
      </c>
      <c r="H32" s="20">
        <v>0</v>
      </c>
      <c r="I32" s="21">
        <f t="shared" si="0"/>
        <v>1</v>
      </c>
      <c r="J32" s="22">
        <f t="shared" si="1"/>
        <v>53</v>
      </c>
      <c r="K32" s="23">
        <v>0</v>
      </c>
      <c r="L32" s="24">
        <f>설정!$B$6</f>
        <v>42</v>
      </c>
      <c r="M32" s="25" t="str">
        <f>IF(K32=0,"",K32-J32)</f>
        <v/>
      </c>
      <c r="N32" s="26"/>
    </row>
    <row r="34" spans="1:14" ht="19.95" customHeight="1" x14ac:dyDescent="0.4">
      <c r="A34" s="34" t="s">
        <v>69</v>
      </c>
      <c r="B34" s="32"/>
      <c r="C34" s="32"/>
      <c r="D34" s="32"/>
      <c r="E34" s="32"/>
      <c r="F34" s="32"/>
      <c r="G34" s="32"/>
      <c r="H34" s="32"/>
      <c r="I34" s="32"/>
      <c r="J34" s="32"/>
      <c r="K34" s="32"/>
      <c r="L34" s="32"/>
      <c r="M34" s="32"/>
      <c r="N34" s="32"/>
    </row>
  </sheetData>
  <mergeCells count="2">
    <mergeCell ref="A34:N34"/>
    <mergeCell ref="A1:N1"/>
  </mergeCells>
  <phoneticPr fontId="16" type="noConversion"/>
  <conditionalFormatting sqref="M3:M32">
    <cfRule type="expression" dxfId="1" priority="3">
      <formula>AND(M3&lt;&gt;"",M3&gt;0)</formula>
    </cfRule>
    <cfRule type="expression" dxfId="0" priority="4">
      <formula>AND(M3&lt;&gt;"",M3&lt;=0)</formula>
    </cfRule>
  </conditionalFormatting>
  <pageMargins left="0.75" right="0.75" top="1" bottom="1" header="0.5" footer="0.5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" id="{00000000-000E-0000-0100-000001000000}">
            <xm:f>J3&lt;설정!$B$6</xm:f>
            <x14:dxf>
              <font>
                <b/>
                <color rgb="FFFFFFFF"/>
                <name val="Arial"/>
              </font>
              <fill>
                <patternFill patternType="solid">
                  <fgColor rgb="FFFF0000"/>
                  <bgColor rgb="FFFF0000"/>
                </patternFill>
              </fill>
            </x14:dxf>
          </x14:cfRule>
          <x14:cfRule type="expression" priority="2" id="{00000000-000E-0000-0100-000002000000}">
            <xm:f>J3&gt;=설정!$B$6</xm:f>
            <x14:dxf>
              <font>
                <b/>
                <color rgb="FFFFFFFF"/>
                <name val="Arial"/>
              </font>
              <fill>
                <patternFill patternType="solid">
                  <fgColor rgb="FF70AD47"/>
                  <bgColor rgb="FF70AD47"/>
                </patternFill>
              </fill>
            </x14:dxf>
          </x14:cfRule>
          <xm:sqref>J3:J32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설정</vt:lpstr>
      <vt:lpstr>2026년 4월 투입계산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썬 앵그리</cp:lastModifiedBy>
  <dcterms:created xsi:type="dcterms:W3CDTF">2026-04-11T12:17:00Z</dcterms:created>
  <dcterms:modified xsi:type="dcterms:W3CDTF">2026-04-11T12:32:03Z</dcterms:modified>
</cp:coreProperties>
</file>